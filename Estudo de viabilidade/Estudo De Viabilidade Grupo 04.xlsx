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ecspgov-my.sharepoint.com/personal/vinicius_bruno01_etec_sp_gov_br/Documents/"/>
    </mc:Choice>
  </mc:AlternateContent>
  <xr:revisionPtr revIDLastSave="908" documentId="8_{A3E24600-790E-499D-BF7F-71FD26169D90}" xr6:coauthVersionLast="47" xr6:coauthVersionMax="47" xr10:uidLastSave="{69AE77A5-D7AA-4C2F-AE0F-E1529EFE78CC}"/>
  <bookViews>
    <workbookView xWindow="0" yWindow="0" windowWidth="23040" windowHeight="9060" firstSheet="1" activeTab="3" xr2:uid="{F8848616-4613-468B-8DA0-C4FAB0C27EDE}"/>
  </bookViews>
  <sheets>
    <sheet name="Técnica" sheetId="4" r:id="rId1"/>
    <sheet name="Custo" sheetId="3" r:id="rId2"/>
    <sheet name="Planilha2" sheetId="2" state="hidden" r:id="rId3"/>
    <sheet name="Prazo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" l="1"/>
  <c r="D37" i="3"/>
  <c r="D36" i="3"/>
  <c r="D34" i="3"/>
  <c r="D35" i="3"/>
  <c r="D33" i="3"/>
  <c r="E33" i="3" s="1"/>
  <c r="E38" i="3"/>
  <c r="C39" i="3"/>
  <c r="E34" i="3"/>
  <c r="E35" i="3"/>
  <c r="E36" i="3"/>
  <c r="E37" i="3"/>
  <c r="E86" i="1"/>
  <c r="E87" i="1"/>
  <c r="E88" i="1"/>
  <c r="E89" i="1"/>
  <c r="E90" i="1"/>
  <c r="E85" i="1"/>
  <c r="E65" i="1"/>
  <c r="E66" i="1"/>
  <c r="E67" i="1"/>
  <c r="E68" i="1"/>
  <c r="E69" i="1"/>
  <c r="E70" i="1"/>
  <c r="E56" i="1"/>
  <c r="E57" i="1"/>
  <c r="E58" i="1"/>
  <c r="E59" i="1"/>
  <c r="E60" i="1"/>
  <c r="E55" i="1"/>
  <c r="E51" i="1"/>
  <c r="E41" i="1"/>
  <c r="E36" i="1"/>
  <c r="E37" i="1"/>
  <c r="E38" i="1"/>
  <c r="E39" i="1"/>
  <c r="E40" i="1"/>
  <c r="E35" i="1"/>
  <c r="E16" i="1"/>
  <c r="E17" i="1"/>
  <c r="E18" i="1"/>
  <c r="E19" i="1"/>
  <c r="E20" i="1"/>
  <c r="E15" i="1"/>
  <c r="E6" i="1"/>
  <c r="E7" i="1"/>
  <c r="E8" i="1"/>
  <c r="E9" i="1"/>
  <c r="E10" i="1"/>
  <c r="E5" i="1"/>
  <c r="E91" i="1"/>
  <c r="D91" i="1"/>
  <c r="E46" i="1"/>
  <c r="E47" i="1"/>
  <c r="E48" i="1"/>
  <c r="E49" i="1"/>
  <c r="E50" i="1"/>
  <c r="E45" i="1"/>
  <c r="F20" i="1"/>
  <c r="E21" i="1"/>
  <c r="D21" i="1"/>
  <c r="F11" i="1"/>
  <c r="E11" i="1"/>
  <c r="D11" i="1"/>
  <c r="E61" i="1"/>
  <c r="C91" i="1"/>
  <c r="C61" i="1"/>
  <c r="C51" i="1"/>
  <c r="C41" i="1"/>
  <c r="C71" i="1"/>
  <c r="C31" i="1"/>
  <c r="C21" i="1"/>
  <c r="D71" i="1"/>
  <c r="D61" i="1"/>
  <c r="D51" i="1"/>
  <c r="D41" i="1"/>
  <c r="D81" i="1"/>
  <c r="E81" i="1"/>
  <c r="F81" i="1"/>
  <c r="C81" i="1"/>
  <c r="E76" i="1"/>
  <c r="E77" i="1"/>
  <c r="E78" i="1"/>
  <c r="E79" i="1"/>
  <c r="E80" i="1"/>
  <c r="E75" i="1"/>
  <c r="D5" i="3"/>
  <c r="C11" i="3"/>
  <c r="D10" i="3"/>
  <c r="F89" i="1"/>
  <c r="F91" i="1"/>
  <c r="D31" i="1"/>
  <c r="E26" i="1"/>
  <c r="E27" i="1"/>
  <c r="E28" i="1"/>
  <c r="E29" i="1"/>
  <c r="E30" i="1"/>
  <c r="E25" i="1"/>
  <c r="E31" i="1" s="1"/>
  <c r="C23" i="3"/>
  <c r="B23" i="3"/>
  <c r="D22" i="3"/>
  <c r="D21" i="3"/>
  <c r="D20" i="3"/>
  <c r="D19" i="3"/>
  <c r="D18" i="3"/>
  <c r="D17" i="3"/>
  <c r="D16" i="3"/>
  <c r="D15" i="3"/>
  <c r="D9" i="3"/>
  <c r="D8" i="3"/>
  <c r="D7" i="3"/>
  <c r="D6" i="3"/>
  <c r="F65" i="1"/>
  <c r="F75" i="1"/>
  <c r="F76" i="1"/>
  <c r="F77" i="1"/>
  <c r="F78" i="1"/>
  <c r="F79" i="1"/>
  <c r="F80" i="1"/>
  <c r="F66" i="1"/>
  <c r="F67" i="1"/>
  <c r="F68" i="1"/>
  <c r="F69" i="1"/>
  <c r="F70" i="1"/>
  <c r="F55" i="1"/>
  <c r="F56" i="1"/>
  <c r="F57" i="1"/>
  <c r="F58" i="1"/>
  <c r="F59" i="1"/>
  <c r="F60" i="1"/>
  <c r="F45" i="1"/>
  <c r="F46" i="1"/>
  <c r="F47" i="1"/>
  <c r="F48" i="1"/>
  <c r="F49" i="1"/>
  <c r="F50" i="1"/>
  <c r="F35" i="1"/>
  <c r="F36" i="1"/>
  <c r="F37" i="1"/>
  <c r="F38" i="1"/>
  <c r="F39" i="1"/>
  <c r="F40" i="1"/>
  <c r="F25" i="1"/>
  <c r="F26" i="1"/>
  <c r="F27" i="1"/>
  <c r="F28" i="1"/>
  <c r="F29" i="1"/>
  <c r="F30" i="1"/>
  <c r="F15" i="1"/>
  <c r="F16" i="1"/>
  <c r="F17" i="1"/>
  <c r="F18" i="1"/>
  <c r="F19" i="1"/>
  <c r="F21" i="1"/>
  <c r="D39" i="3" l="1"/>
  <c r="E39" i="3"/>
  <c r="D11" i="3"/>
  <c r="D23" i="3"/>
  <c r="F31" i="1"/>
  <c r="F51" i="1"/>
  <c r="F61" i="1"/>
  <c r="F71" i="1"/>
  <c r="F93" i="1" l="1"/>
  <c r="D25" i="3"/>
  <c r="F94" i="1"/>
  <c r="F95" i="1" s="1"/>
  <c r="F96" i="1" s="1"/>
</calcChain>
</file>

<file path=xl/sharedStrings.xml><?xml version="1.0" encoding="utf-8"?>
<sst xmlns="http://schemas.openxmlformats.org/spreadsheetml/2006/main" count="218" uniqueCount="74">
  <si>
    <t>Estudo de Viabilidade</t>
  </si>
  <si>
    <t>Técnica</t>
  </si>
  <si>
    <t>Colaborador(a)</t>
  </si>
  <si>
    <t>Tecnologia</t>
  </si>
  <si>
    <t>Atividade</t>
  </si>
  <si>
    <t>Domínio (%)*</t>
  </si>
  <si>
    <t>Pedro Vinícius</t>
  </si>
  <si>
    <t>Html | Css</t>
  </si>
  <si>
    <t>Gestão</t>
  </si>
  <si>
    <t>Pedro Gomes</t>
  </si>
  <si>
    <t>Word | Canva</t>
  </si>
  <si>
    <t xml:space="preserve">Analista </t>
  </si>
  <si>
    <t>Enzo Ramos</t>
  </si>
  <si>
    <t>Front end</t>
  </si>
  <si>
    <t>Lucas Lima</t>
  </si>
  <si>
    <t>Figma | Css</t>
  </si>
  <si>
    <t>Protótipo</t>
  </si>
  <si>
    <t>Vinicius Pereira</t>
  </si>
  <si>
    <t>Figma | Canva</t>
  </si>
  <si>
    <t>Mateus Mattos</t>
  </si>
  <si>
    <t>Canva</t>
  </si>
  <si>
    <t>Logotipo</t>
  </si>
  <si>
    <t>* O percentual de domínio refere-se ao conhecimento necessário para o desenvolvimento específico da atividade, não ao conhecimento total da tecnologia.</t>
  </si>
  <si>
    <t>Custo - 9 Meses</t>
  </si>
  <si>
    <t>Função</t>
  </si>
  <si>
    <t>Total Mensal</t>
  </si>
  <si>
    <t>9 Meses</t>
  </si>
  <si>
    <t>Gestão de projetos</t>
  </si>
  <si>
    <t>Dev</t>
  </si>
  <si>
    <t>Pedro Vinicius</t>
  </si>
  <si>
    <t>Gestão de Projeto</t>
  </si>
  <si>
    <t>Designer</t>
  </si>
  <si>
    <t>Lucas Oliveira</t>
  </si>
  <si>
    <t>Total dos Custos com Pessoal</t>
  </si>
  <si>
    <t>Custos Fixos*</t>
  </si>
  <si>
    <t>Despesas</t>
  </si>
  <si>
    <t>Fev</t>
  </si>
  <si>
    <t>Mar</t>
  </si>
  <si>
    <t>Total</t>
  </si>
  <si>
    <t>Aluguel</t>
  </si>
  <si>
    <t>Luz</t>
  </si>
  <si>
    <t>Água</t>
  </si>
  <si>
    <t>Refeições</t>
  </si>
  <si>
    <t>Transporte</t>
  </si>
  <si>
    <t>Cursos**</t>
  </si>
  <si>
    <t>Notebooks***</t>
  </si>
  <si>
    <t>Outras</t>
  </si>
  <si>
    <t>Sub-total</t>
  </si>
  <si>
    <t>Total dos custos do Projeto:</t>
  </si>
  <si>
    <t>Custo Mensal</t>
  </si>
  <si>
    <t>Valor Hora*</t>
  </si>
  <si>
    <t>Qtde. Horas**</t>
  </si>
  <si>
    <t>Analista</t>
  </si>
  <si>
    <t>Total de Horas:</t>
  </si>
  <si>
    <t>Prazo</t>
  </si>
  <si>
    <t>Mês</t>
  </si>
  <si>
    <t>Horas por Semana</t>
  </si>
  <si>
    <t>Horas/aula</t>
  </si>
  <si>
    <t>Total por Semana</t>
  </si>
  <si>
    <t>Total por mês</t>
  </si>
  <si>
    <t>Pedro Henrique</t>
  </si>
  <si>
    <t>Vinícius</t>
  </si>
  <si>
    <t>Total de Horas</t>
  </si>
  <si>
    <t>Abr</t>
  </si>
  <si>
    <t>Mai</t>
  </si>
  <si>
    <t>Jun</t>
  </si>
  <si>
    <t>Ago</t>
  </si>
  <si>
    <t>Set</t>
  </si>
  <si>
    <t>Out</t>
  </si>
  <si>
    <t>Nov</t>
  </si>
  <si>
    <t>Total de horas trabalhadas em 09 meses:</t>
  </si>
  <si>
    <t>Total de dias com 08 horas trabalhadas em 09 meses:</t>
  </si>
  <si>
    <t>Total de dias com 08 horas trabalhadas por cada membro da equipe em 09 meses:</t>
  </si>
  <si>
    <t>Total de meses trabalhados por cada membro da equipe em 09 meses: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</si>
</sst>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R$&quot;\ * #,##0.00_-;\-&quot;R$&quot;\ * #,##0.00_-;_-&quot;R$&quot;\ * &quot;-&quot;??_-;_-@_-"/>
  </numFmts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4472C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7" fillId="6" borderId="6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44" fontId="0" fillId="0" borderId="2" xfId="1" applyFont="1" applyBorder="1"/>
    <xf numFmtId="0" fontId="7" fillId="0" borderId="0" xfId="0" applyFont="1" applyAlignment="1">
      <alignment horizontal="left"/>
    </xf>
    <xf numFmtId="44" fontId="7" fillId="0" borderId="0" xfId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7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44" fontId="7" fillId="7" borderId="0" xfId="1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0" borderId="0" xfId="0" applyFont="1"/>
    <xf numFmtId="44" fontId="7" fillId="0" borderId="2" xfId="1" applyFont="1" applyBorder="1"/>
    <xf numFmtId="0" fontId="7" fillId="0" borderId="12" xfId="0" applyFont="1" applyBorder="1" applyAlignment="1">
      <alignment horizontal="left"/>
    </xf>
    <xf numFmtId="0" fontId="7" fillId="6" borderId="10" xfId="0" applyFont="1" applyFill="1" applyBorder="1" applyAlignment="1">
      <alignment horizontal="center"/>
    </xf>
    <xf numFmtId="0" fontId="0" fillId="7" borderId="2" xfId="0" applyFill="1" applyBorder="1"/>
    <xf numFmtId="44" fontId="5" fillId="7" borderId="2" xfId="1" applyFont="1" applyFill="1" applyBorder="1" applyAlignment="1"/>
    <xf numFmtId="44" fontId="5" fillId="7" borderId="2" xfId="1" applyFont="1" applyFill="1" applyBorder="1" applyAlignment="1">
      <alignment horizontal="left"/>
    </xf>
    <xf numFmtId="44" fontId="7" fillId="7" borderId="2" xfId="1" applyFont="1" applyFill="1" applyBorder="1" applyAlignment="1">
      <alignment horizontal="center"/>
    </xf>
    <xf numFmtId="0" fontId="0" fillId="0" borderId="2" xfId="0" applyBorder="1"/>
    <xf numFmtId="0" fontId="0" fillId="0" borderId="11" xfId="0" applyBorder="1"/>
    <xf numFmtId="44" fontId="7" fillId="0" borderId="11" xfId="1" applyFont="1" applyBorder="1"/>
    <xf numFmtId="44" fontId="7" fillId="7" borderId="11" xfId="1" applyFont="1" applyFill="1" applyBorder="1" applyAlignment="1">
      <alignment horizontal="center"/>
    </xf>
    <xf numFmtId="164" fontId="6" fillId="6" borderId="15" xfId="0" applyNumberFormat="1" applyFont="1" applyFill="1" applyBorder="1"/>
    <xf numFmtId="0" fontId="7" fillId="6" borderId="6" xfId="0" applyFont="1" applyFill="1" applyBorder="1"/>
    <xf numFmtId="0" fontId="0" fillId="0" borderId="2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4" borderId="0" xfId="0" applyFont="1" applyFill="1" applyAlignment="1">
      <alignment horizontal="right"/>
    </xf>
    <xf numFmtId="0" fontId="0" fillId="0" borderId="16" xfId="0" applyBorder="1"/>
    <xf numFmtId="0" fontId="7" fillId="6" borderId="2" xfId="0" applyFont="1" applyFill="1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7" xfId="1" applyFont="1" applyBorder="1"/>
    <xf numFmtId="44" fontId="7" fillId="6" borderId="2" xfId="1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35E2-57BA-431B-80BF-098C4E0D25FF}">
  <dimension ref="A1:D12"/>
  <sheetViews>
    <sheetView workbookViewId="0">
      <selection activeCell="C8" sqref="C8"/>
    </sheetView>
  </sheetViews>
  <sheetFormatPr defaultRowHeight="15"/>
  <cols>
    <col min="1" max="1" width="14.7109375" bestFit="1" customWidth="1"/>
    <col min="2" max="2" width="13.7109375" bestFit="1" customWidth="1"/>
    <col min="3" max="3" width="9.7109375" bestFit="1" customWidth="1"/>
    <col min="4" max="4" width="13.28515625" bestFit="1" customWidth="1"/>
  </cols>
  <sheetData>
    <row r="1" spans="1:4">
      <c r="A1" s="76" t="s">
        <v>0</v>
      </c>
      <c r="B1" s="77"/>
      <c r="C1" s="77"/>
      <c r="D1" s="78"/>
    </row>
    <row r="3" spans="1:4">
      <c r="A3" s="79" t="s">
        <v>1</v>
      </c>
      <c r="B3" s="80"/>
      <c r="C3" s="80"/>
      <c r="D3" s="81"/>
    </row>
    <row r="4" spans="1:4">
      <c r="A4" s="36" t="s">
        <v>2</v>
      </c>
      <c r="B4" s="36" t="s">
        <v>3</v>
      </c>
      <c r="C4" s="36" t="s">
        <v>4</v>
      </c>
      <c r="D4" s="36" t="s">
        <v>5</v>
      </c>
    </row>
    <row r="5" spans="1:4">
      <c r="A5" s="14" t="s">
        <v>6</v>
      </c>
      <c r="B5" s="14" t="s">
        <v>7</v>
      </c>
      <c r="C5" s="14" t="s">
        <v>8</v>
      </c>
      <c r="D5" s="37">
        <v>65</v>
      </c>
    </row>
    <row r="6" spans="1:4">
      <c r="A6" s="14" t="s">
        <v>9</v>
      </c>
      <c r="B6" s="14" t="s">
        <v>10</v>
      </c>
      <c r="C6" s="14" t="s">
        <v>11</v>
      </c>
      <c r="D6" s="37">
        <v>80</v>
      </c>
    </row>
    <row r="7" spans="1:4">
      <c r="A7" s="14" t="s">
        <v>12</v>
      </c>
      <c r="B7" s="14" t="s">
        <v>7</v>
      </c>
      <c r="C7" s="14" t="s">
        <v>13</v>
      </c>
      <c r="D7" s="37">
        <v>90</v>
      </c>
    </row>
    <row r="8" spans="1:4">
      <c r="A8" s="14" t="s">
        <v>14</v>
      </c>
      <c r="B8" s="14" t="s">
        <v>15</v>
      </c>
      <c r="C8" s="14" t="s">
        <v>16</v>
      </c>
      <c r="D8" s="37">
        <v>70</v>
      </c>
    </row>
    <row r="9" spans="1:4">
      <c r="A9" s="14" t="s">
        <v>17</v>
      </c>
      <c r="B9" s="14" t="s">
        <v>18</v>
      </c>
      <c r="C9" s="14" t="s">
        <v>16</v>
      </c>
      <c r="D9" s="37">
        <v>75</v>
      </c>
    </row>
    <row r="10" spans="1:4">
      <c r="A10" s="14" t="s">
        <v>19</v>
      </c>
      <c r="B10" s="14" t="s">
        <v>20</v>
      </c>
      <c r="C10" s="14" t="s">
        <v>21</v>
      </c>
      <c r="D10" s="37">
        <v>30</v>
      </c>
    </row>
    <row r="12" spans="1:4" ht="60" customHeight="1">
      <c r="A12" s="82" t="s">
        <v>22</v>
      </c>
      <c r="B12" s="83"/>
      <c r="C12" s="83"/>
      <c r="D12" s="84"/>
    </row>
  </sheetData>
  <mergeCells count="3">
    <mergeCell ref="A1:D1"/>
    <mergeCell ref="A3:D3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13BA-E34C-448A-B9F5-A11EBC94B570}">
  <dimension ref="A1:F40"/>
  <sheetViews>
    <sheetView topLeftCell="A30" workbookViewId="0">
      <selection activeCell="F40" sqref="A31:F40"/>
    </sheetView>
  </sheetViews>
  <sheetFormatPr defaultRowHeight="15"/>
  <cols>
    <col min="1" max="1" width="14.7109375" bestFit="1" customWidth="1"/>
    <col min="2" max="2" width="17.28515625" bestFit="1" customWidth="1"/>
    <col min="3" max="3" width="12.7109375" bestFit="1" customWidth="1"/>
    <col min="4" max="4" width="23.5703125" bestFit="1" customWidth="1"/>
    <col min="5" max="5" width="10.85546875" bestFit="1" customWidth="1"/>
  </cols>
  <sheetData>
    <row r="1" spans="1:6">
      <c r="A1" s="19"/>
      <c r="B1" s="19"/>
      <c r="C1" s="19"/>
      <c r="D1" s="19"/>
      <c r="E1" s="19"/>
    </row>
    <row r="2" spans="1:6">
      <c r="A2" s="19"/>
      <c r="B2" s="20"/>
      <c r="C2" s="20"/>
      <c r="D2" s="21"/>
      <c r="E2" s="22"/>
    </row>
    <row r="3" spans="1:6">
      <c r="A3" s="67" t="s">
        <v>23</v>
      </c>
      <c r="B3" s="67"/>
      <c r="C3" s="67"/>
      <c r="D3" s="67"/>
      <c r="E3" s="23"/>
    </row>
    <row r="4" spans="1:6">
      <c r="A4" s="13" t="s">
        <v>2</v>
      </c>
      <c r="B4" s="13" t="s">
        <v>24</v>
      </c>
      <c r="C4" s="13" t="s">
        <v>25</v>
      </c>
      <c r="D4" s="13" t="s">
        <v>26</v>
      </c>
    </row>
    <row r="5" spans="1:6">
      <c r="A5" s="14" t="s">
        <v>9</v>
      </c>
      <c r="B5" s="14" t="s">
        <v>27</v>
      </c>
      <c r="C5" s="15">
        <v>3400</v>
      </c>
      <c r="D5" s="15">
        <f>C5*9</f>
        <v>30600</v>
      </c>
    </row>
    <row r="6" spans="1:6">
      <c r="A6" s="14" t="s">
        <v>12</v>
      </c>
      <c r="B6" s="14" t="s">
        <v>28</v>
      </c>
      <c r="C6" s="15">
        <v>2600</v>
      </c>
      <c r="D6" s="15">
        <f t="shared" ref="D6:D9" si="0">C6*9</f>
        <v>23400</v>
      </c>
    </row>
    <row r="7" spans="1:6">
      <c r="A7" s="14" t="s">
        <v>29</v>
      </c>
      <c r="B7" s="14" t="s">
        <v>30</v>
      </c>
      <c r="C7" s="15">
        <v>3400</v>
      </c>
      <c r="D7" s="15">
        <f t="shared" si="0"/>
        <v>30600</v>
      </c>
    </row>
    <row r="8" spans="1:6">
      <c r="A8" s="14" t="s">
        <v>17</v>
      </c>
      <c r="B8" s="14" t="s">
        <v>31</v>
      </c>
      <c r="C8" s="15">
        <v>2600</v>
      </c>
      <c r="D8" s="15">
        <f t="shared" si="0"/>
        <v>23400</v>
      </c>
    </row>
    <row r="9" spans="1:6">
      <c r="A9" s="14" t="s">
        <v>32</v>
      </c>
      <c r="B9" s="14" t="s">
        <v>31</v>
      </c>
      <c r="C9" s="15">
        <v>2200</v>
      </c>
      <c r="D9" s="15">
        <f t="shared" si="0"/>
        <v>19800</v>
      </c>
      <c r="F9" s="22"/>
    </row>
    <row r="10" spans="1:6">
      <c r="A10" s="14" t="s">
        <v>19</v>
      </c>
      <c r="B10" s="14" t="s">
        <v>31</v>
      </c>
      <c r="C10" s="15">
        <v>2200</v>
      </c>
      <c r="D10" s="15">
        <f>C10*9</f>
        <v>19800</v>
      </c>
      <c r="F10" s="22"/>
    </row>
    <row r="11" spans="1:6" ht="15" customHeight="1">
      <c r="A11" s="68" t="s">
        <v>33</v>
      </c>
      <c r="B11" s="69"/>
      <c r="C11" s="24">
        <f>SUM(C5,C7,C6,C8,C9,C10)</f>
        <v>16400</v>
      </c>
      <c r="D11" s="24">
        <f xml:space="preserve"> SUM(D5,D6,D7,D8,D9,D10)</f>
        <v>147600</v>
      </c>
    </row>
    <row r="12" spans="1:6">
      <c r="A12" s="25"/>
      <c r="B12" s="16"/>
      <c r="C12" s="16"/>
      <c r="D12" s="17"/>
      <c r="E12" s="18"/>
    </row>
    <row r="13" spans="1:6">
      <c r="A13" s="67" t="s">
        <v>34</v>
      </c>
      <c r="B13" s="67"/>
      <c r="C13" s="67"/>
      <c r="D13" s="67"/>
      <c r="E13" s="23"/>
    </row>
    <row r="14" spans="1:6">
      <c r="A14" s="13" t="s">
        <v>35</v>
      </c>
      <c r="B14" s="13" t="s">
        <v>36</v>
      </c>
      <c r="C14" s="26" t="s">
        <v>37</v>
      </c>
      <c r="D14" s="26" t="s">
        <v>38</v>
      </c>
    </row>
    <row r="15" spans="1:6">
      <c r="A15" s="27" t="s">
        <v>39</v>
      </c>
      <c r="B15" s="28">
        <v>900</v>
      </c>
      <c r="C15" s="29">
        <v>900</v>
      </c>
      <c r="D15" s="30">
        <f t="shared" ref="D15:D23" si="1">SUM(B15:C15)</f>
        <v>1800</v>
      </c>
    </row>
    <row r="16" spans="1:6">
      <c r="A16" s="27" t="s">
        <v>40</v>
      </c>
      <c r="B16" s="28">
        <v>300</v>
      </c>
      <c r="C16" s="29">
        <v>270</v>
      </c>
      <c r="D16" s="30">
        <f t="shared" si="1"/>
        <v>570</v>
      </c>
    </row>
    <row r="17" spans="1:6">
      <c r="A17" s="27" t="s">
        <v>41</v>
      </c>
      <c r="B17" s="28">
        <v>60</v>
      </c>
      <c r="C17" s="29">
        <v>60</v>
      </c>
      <c r="D17" s="30">
        <f t="shared" si="1"/>
        <v>120</v>
      </c>
    </row>
    <row r="18" spans="1:6">
      <c r="A18" s="27" t="s">
        <v>42</v>
      </c>
      <c r="B18" s="28">
        <v>79</v>
      </c>
      <c r="C18" s="29">
        <v>75</v>
      </c>
      <c r="D18" s="30">
        <f t="shared" si="1"/>
        <v>154</v>
      </c>
    </row>
    <row r="19" spans="1:6">
      <c r="A19" s="27" t="s">
        <v>43</v>
      </c>
      <c r="B19" s="28">
        <v>250</v>
      </c>
      <c r="C19" s="28">
        <v>250</v>
      </c>
      <c r="D19" s="30">
        <f t="shared" si="1"/>
        <v>500</v>
      </c>
    </row>
    <row r="20" spans="1:6">
      <c r="A20" s="27" t="s">
        <v>44</v>
      </c>
      <c r="B20" s="28">
        <v>50</v>
      </c>
      <c r="C20" s="29">
        <v>50</v>
      </c>
      <c r="D20" s="30">
        <f t="shared" si="1"/>
        <v>100</v>
      </c>
    </row>
    <row r="21" spans="1:6">
      <c r="A21" s="27" t="s">
        <v>45</v>
      </c>
      <c r="B21" s="28">
        <v>750</v>
      </c>
      <c r="C21" s="28">
        <v>750</v>
      </c>
      <c r="D21" s="30">
        <f t="shared" si="1"/>
        <v>1500</v>
      </c>
    </row>
    <row r="22" spans="1:6">
      <c r="A22" s="31" t="s">
        <v>46</v>
      </c>
      <c r="B22" s="15"/>
      <c r="C22" s="15">
        <v>400</v>
      </c>
      <c r="D22" s="30">
        <f t="shared" si="1"/>
        <v>400</v>
      </c>
    </row>
    <row r="23" spans="1:6">
      <c r="A23" s="31" t="s">
        <v>47</v>
      </c>
      <c r="B23" s="24">
        <f>SUM(B15:B22)</f>
        <v>2389</v>
      </c>
      <c r="C23" s="24">
        <f>SUM(C15:C22)</f>
        <v>2755</v>
      </c>
      <c r="D23" s="30">
        <f>SUM(B23:C23)</f>
        <v>5144</v>
      </c>
    </row>
    <row r="24" spans="1:6">
      <c r="A24" s="32"/>
      <c r="B24" s="33"/>
      <c r="C24" s="33"/>
      <c r="D24" s="34"/>
    </row>
    <row r="25" spans="1:6" ht="18.75">
      <c r="A25" s="70" t="s">
        <v>48</v>
      </c>
      <c r="B25" s="71"/>
      <c r="C25" s="72"/>
      <c r="D25" s="35">
        <f>SUM(D11+D23)</f>
        <v>152744</v>
      </c>
    </row>
    <row r="29" spans="1:6" ht="18.75" customHeight="1">
      <c r="A29" s="73" t="s">
        <v>0</v>
      </c>
      <c r="B29" s="74"/>
      <c r="C29" s="74"/>
      <c r="D29" s="74"/>
      <c r="E29" s="75"/>
      <c r="F29" s="23"/>
    </row>
    <row r="31" spans="1:6">
      <c r="A31" s="67" t="s">
        <v>49</v>
      </c>
      <c r="B31" s="67"/>
      <c r="C31" s="67"/>
      <c r="D31" s="67"/>
      <c r="E31" s="67"/>
      <c r="F31" s="23"/>
    </row>
    <row r="32" spans="1:6">
      <c r="A32" s="13" t="s">
        <v>2</v>
      </c>
      <c r="B32" s="13" t="s">
        <v>24</v>
      </c>
      <c r="C32" s="13" t="s">
        <v>50</v>
      </c>
      <c r="D32" s="13" t="s">
        <v>51</v>
      </c>
      <c r="E32" s="13" t="s">
        <v>38</v>
      </c>
    </row>
    <row r="33" spans="1:5">
      <c r="A33" s="14" t="s">
        <v>12</v>
      </c>
      <c r="B33" s="14" t="s">
        <v>28</v>
      </c>
      <c r="C33" s="45">
        <v>27</v>
      </c>
      <c r="D33" s="46">
        <f>SUM(Prazo!C7,Prazo!C17,Prazo!C27,Prazo!C37,Prazo!C47,Prazo!C57,Prazo!C67,Prazo!C77,Prazo!C87)</f>
        <v>24</v>
      </c>
      <c r="E33" s="15">
        <f>PRODUCT(C33:D33)</f>
        <v>648</v>
      </c>
    </row>
    <row r="34" spans="1:5">
      <c r="A34" s="14" t="s">
        <v>32</v>
      </c>
      <c r="B34" s="14" t="s">
        <v>31</v>
      </c>
      <c r="C34" s="45">
        <v>20</v>
      </c>
      <c r="D34" s="46">
        <f>SUM(Prazo!C48,Prazo!C38,Prazo!C28,Prazo!C18,Prazo!C8,Prazo!C58,Prazo!C68,Prazo!C78,Prazo!C88)</f>
        <v>17</v>
      </c>
      <c r="E34" s="15">
        <f>PRODUCT(C34:D34)</f>
        <v>340</v>
      </c>
    </row>
    <row r="35" spans="1:5">
      <c r="A35" s="14" t="s">
        <v>9</v>
      </c>
      <c r="B35" s="14" t="s">
        <v>52</v>
      </c>
      <c r="C35" s="45">
        <v>29</v>
      </c>
      <c r="D35" s="46">
        <f>SUM(Prazo!C6,Prazo!C16,Prazo!C26,Prazo!C36,Prazo!C46,Prazo!C56,Prazo!C66,Prazo!C76,Prazo!C86)</f>
        <v>18</v>
      </c>
      <c r="E35" s="15">
        <f>PRODUCT(C35:D35)</f>
        <v>522</v>
      </c>
    </row>
    <row r="36" spans="1:5">
      <c r="A36" s="14" t="s">
        <v>29</v>
      </c>
      <c r="B36" s="14" t="s">
        <v>27</v>
      </c>
      <c r="C36" s="45">
        <v>30</v>
      </c>
      <c r="D36" s="46">
        <f>SUM(Prazo!C5,Prazo!C15,Prazo!C25,Prazo!C35,Prazo!C45,Prazo!C55,Prazo!C65,Prazo!C75,Prazo!C85)</f>
        <v>9</v>
      </c>
      <c r="E36" s="15">
        <f>PRODUCT(C36:D36)</f>
        <v>270</v>
      </c>
    </row>
    <row r="37" spans="1:5">
      <c r="A37" s="14" t="s">
        <v>17</v>
      </c>
      <c r="B37" s="14" t="s">
        <v>31</v>
      </c>
      <c r="C37" s="45">
        <v>20</v>
      </c>
      <c r="D37" s="47">
        <f>SUM(Prazo!C9,Prazo!C19,Prazo!C29,Prazo!C39,Prazo!C49,Prazo!C59,Prazo!C69,Prazo!C79,Prazo!C89)</f>
        <v>14</v>
      </c>
      <c r="E37" s="48">
        <f>PRODUCT(C37:D37)</f>
        <v>280</v>
      </c>
    </row>
    <row r="38" spans="1:5">
      <c r="A38" s="14" t="s">
        <v>19</v>
      </c>
      <c r="B38" s="14" t="s">
        <v>31</v>
      </c>
      <c r="C38" s="45">
        <v>20</v>
      </c>
      <c r="D38" s="47">
        <f>SUM(Prazo!C10,Prazo!C20,Prazo!C30,Prazo!C40,Prazo!C50,Prazo!C60,Prazo!C70,Prazo!C80,Prazo!C90)</f>
        <v>7</v>
      </c>
      <c r="E38" s="48">
        <f>PRODUCT(C38:D38)</f>
        <v>140</v>
      </c>
    </row>
    <row r="39" spans="1:5">
      <c r="A39" s="68" t="s">
        <v>53</v>
      </c>
      <c r="B39" s="69"/>
      <c r="C39" s="49">
        <f>SUM(C34:C38)</f>
        <v>119</v>
      </c>
      <c r="D39" s="44">
        <f>SUM(D34:D38)</f>
        <v>65</v>
      </c>
      <c r="E39" s="49">
        <f>SUM(E34:E38)</f>
        <v>1552</v>
      </c>
    </row>
    <row r="40" spans="1:5">
      <c r="A40" s="19"/>
      <c r="B40" s="19"/>
      <c r="C40" s="19"/>
      <c r="D40" s="19"/>
      <c r="E40" s="19"/>
    </row>
  </sheetData>
  <mergeCells count="7">
    <mergeCell ref="A31:E31"/>
    <mergeCell ref="A39:B39"/>
    <mergeCell ref="A3:D3"/>
    <mergeCell ref="A25:C25"/>
    <mergeCell ref="A13:D13"/>
    <mergeCell ref="A11:B11"/>
    <mergeCell ref="A29:E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8C89-5EDB-44F1-8CA1-79F95EDEEE3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4747-7DCF-4601-9228-A08556DCC86E}">
  <dimension ref="A1:S97"/>
  <sheetViews>
    <sheetView tabSelected="1" topLeftCell="A84" workbookViewId="0">
      <selection activeCell="K90" sqref="K90"/>
    </sheetView>
  </sheetViews>
  <sheetFormatPr defaultRowHeight="14.45"/>
  <cols>
    <col min="2" max="2" width="14.42578125" customWidth="1"/>
    <col min="3" max="3" width="17.7109375" customWidth="1"/>
    <col min="4" max="4" width="10.85546875" customWidth="1"/>
    <col min="5" max="5" width="15.42578125" customWidth="1"/>
    <col min="6" max="6" width="12.85546875" customWidth="1"/>
    <col min="10" max="10" width="9.140625" customWidth="1"/>
    <col min="11" max="11" width="14.5703125" customWidth="1"/>
    <col min="12" max="12" width="16.85546875" customWidth="1"/>
    <col min="13" max="13" width="12.7109375" customWidth="1"/>
    <col min="14" max="14" width="17.42578125" customWidth="1"/>
    <col min="15" max="15" width="14.140625" customWidth="1"/>
  </cols>
  <sheetData>
    <row r="1" spans="1:6">
      <c r="A1" s="58" t="s">
        <v>0</v>
      </c>
      <c r="B1" s="59"/>
      <c r="C1" s="59"/>
      <c r="D1" s="59"/>
      <c r="E1" s="59"/>
      <c r="F1" s="59"/>
    </row>
    <row r="2" spans="1:6">
      <c r="A2" s="1"/>
      <c r="B2" s="1"/>
      <c r="C2" s="1"/>
      <c r="D2" s="1"/>
      <c r="E2" s="1"/>
      <c r="F2" s="1"/>
    </row>
    <row r="3" spans="1:6">
      <c r="A3" s="52" t="s">
        <v>54</v>
      </c>
      <c r="B3" s="53"/>
      <c r="C3" s="53"/>
      <c r="D3" s="53"/>
      <c r="E3" s="53"/>
      <c r="F3" s="54"/>
    </row>
    <row r="4" spans="1:6">
      <c r="A4" s="2" t="s">
        <v>55</v>
      </c>
      <c r="B4" s="2" t="s">
        <v>2</v>
      </c>
      <c r="C4" s="2" t="s">
        <v>56</v>
      </c>
      <c r="D4" s="2" t="s">
        <v>57</v>
      </c>
      <c r="E4" s="2" t="s">
        <v>58</v>
      </c>
      <c r="F4" s="2" t="s">
        <v>59</v>
      </c>
    </row>
    <row r="5" spans="1:6" ht="15">
      <c r="A5" s="55" t="s">
        <v>36</v>
      </c>
      <c r="B5" s="3" t="s">
        <v>6</v>
      </c>
      <c r="C5" s="4">
        <v>0</v>
      </c>
      <c r="D5" s="4">
        <v>4</v>
      </c>
      <c r="E5" s="4">
        <f>SUM(C5:D5)</f>
        <v>4</v>
      </c>
      <c r="F5" s="5">
        <v>9</v>
      </c>
    </row>
    <row r="6" spans="1:6" ht="15">
      <c r="A6" s="56"/>
      <c r="B6" s="6" t="s">
        <v>60</v>
      </c>
      <c r="C6" s="5">
        <v>0</v>
      </c>
      <c r="D6" s="5">
        <v>4</v>
      </c>
      <c r="E6" s="4">
        <f t="shared" ref="E6:E10" si="0">SUM(C6:D6)</f>
        <v>4</v>
      </c>
      <c r="F6" s="5">
        <v>9</v>
      </c>
    </row>
    <row r="7" spans="1:6" ht="15">
      <c r="A7" s="56"/>
      <c r="B7" s="6" t="s">
        <v>12</v>
      </c>
      <c r="C7" s="5">
        <v>0</v>
      </c>
      <c r="D7" s="5">
        <v>4</v>
      </c>
      <c r="E7" s="4">
        <f t="shared" si="0"/>
        <v>4</v>
      </c>
      <c r="F7" s="5">
        <v>9</v>
      </c>
    </row>
    <row r="8" spans="1:6" ht="15">
      <c r="A8" s="56"/>
      <c r="B8" s="6" t="s">
        <v>32</v>
      </c>
      <c r="C8" s="5">
        <v>0</v>
      </c>
      <c r="D8" s="5">
        <v>4</v>
      </c>
      <c r="E8" s="4">
        <f t="shared" si="0"/>
        <v>4</v>
      </c>
      <c r="F8" s="5">
        <v>9</v>
      </c>
    </row>
    <row r="9" spans="1:6" ht="15">
      <c r="A9" s="56"/>
      <c r="B9" s="7" t="s">
        <v>61</v>
      </c>
      <c r="C9" s="8">
        <v>0</v>
      </c>
      <c r="D9" s="5">
        <v>4</v>
      </c>
      <c r="E9" s="4">
        <f t="shared" si="0"/>
        <v>4</v>
      </c>
      <c r="F9" s="5">
        <v>9</v>
      </c>
    </row>
    <row r="10" spans="1:6" ht="15">
      <c r="A10" s="57"/>
      <c r="B10" s="7" t="s">
        <v>19</v>
      </c>
      <c r="C10" s="8">
        <v>0</v>
      </c>
      <c r="D10" s="5">
        <v>4</v>
      </c>
      <c r="E10" s="4">
        <f t="shared" si="0"/>
        <v>4</v>
      </c>
      <c r="F10" s="5">
        <v>9</v>
      </c>
    </row>
    <row r="11" spans="1:6">
      <c r="A11" s="50" t="s">
        <v>62</v>
      </c>
      <c r="B11" s="51"/>
      <c r="C11" s="2">
        <v>0</v>
      </c>
      <c r="D11" s="2">
        <f>SUM(D5:D10)</f>
        <v>24</v>
      </c>
      <c r="E11" s="2">
        <f>SUM(E5:E10)</f>
        <v>24</v>
      </c>
      <c r="F11" s="2">
        <f>SUM(F5:F10)</f>
        <v>54</v>
      </c>
    </row>
    <row r="13" spans="1:6">
      <c r="A13" s="52" t="s">
        <v>54</v>
      </c>
      <c r="B13" s="53"/>
      <c r="C13" s="53"/>
      <c r="D13" s="53"/>
      <c r="E13" s="53"/>
      <c r="F13" s="54"/>
    </row>
    <row r="14" spans="1:6">
      <c r="A14" s="2" t="s">
        <v>55</v>
      </c>
      <c r="B14" s="2" t="s">
        <v>2</v>
      </c>
      <c r="C14" s="2" t="s">
        <v>56</v>
      </c>
      <c r="D14" s="2" t="s">
        <v>57</v>
      </c>
      <c r="E14" s="2" t="s">
        <v>58</v>
      </c>
      <c r="F14" s="2" t="s">
        <v>59</v>
      </c>
    </row>
    <row r="15" spans="1:6">
      <c r="A15" s="55" t="s">
        <v>37</v>
      </c>
      <c r="B15" s="3" t="s">
        <v>6</v>
      </c>
      <c r="C15" s="4">
        <v>1</v>
      </c>
      <c r="D15" s="4">
        <v>4</v>
      </c>
      <c r="E15" s="4">
        <f>SUM(C15:D15)</f>
        <v>5</v>
      </c>
      <c r="F15" s="5">
        <f>E15*4.5</f>
        <v>22.5</v>
      </c>
    </row>
    <row r="16" spans="1:6">
      <c r="A16" s="56"/>
      <c r="B16" s="6" t="s">
        <v>60</v>
      </c>
      <c r="C16" s="5">
        <v>1</v>
      </c>
      <c r="D16" s="5">
        <v>4</v>
      </c>
      <c r="E16" s="4">
        <f t="shared" ref="E16:E20" si="1">SUM(C16:D16)</f>
        <v>5</v>
      </c>
      <c r="F16" s="5">
        <f t="shared" ref="F16:F20" si="2">E16*4.5</f>
        <v>22.5</v>
      </c>
    </row>
    <row r="17" spans="1:6">
      <c r="A17" s="56"/>
      <c r="B17" s="6" t="s">
        <v>12</v>
      </c>
      <c r="C17" s="5">
        <v>2</v>
      </c>
      <c r="D17" s="5">
        <v>4</v>
      </c>
      <c r="E17" s="4">
        <f t="shared" si="1"/>
        <v>6</v>
      </c>
      <c r="F17" s="5">
        <f t="shared" si="2"/>
        <v>27</v>
      </c>
    </row>
    <row r="18" spans="1:6">
      <c r="A18" s="56"/>
      <c r="B18" s="6" t="s">
        <v>32</v>
      </c>
      <c r="C18" s="5">
        <v>1</v>
      </c>
      <c r="D18" s="5">
        <v>4</v>
      </c>
      <c r="E18" s="4">
        <f t="shared" si="1"/>
        <v>5</v>
      </c>
      <c r="F18" s="5">
        <f t="shared" si="2"/>
        <v>22.5</v>
      </c>
    </row>
    <row r="19" spans="1:6">
      <c r="A19" s="56"/>
      <c r="B19" s="7" t="s">
        <v>61</v>
      </c>
      <c r="C19" s="8">
        <v>1</v>
      </c>
      <c r="D19" s="5">
        <v>4</v>
      </c>
      <c r="E19" s="4">
        <f t="shared" si="1"/>
        <v>5</v>
      </c>
      <c r="F19" s="5">
        <f t="shared" si="2"/>
        <v>22.5</v>
      </c>
    </row>
    <row r="20" spans="1:6">
      <c r="A20" s="57"/>
      <c r="B20" s="7" t="s">
        <v>19</v>
      </c>
      <c r="C20" s="8">
        <v>1</v>
      </c>
      <c r="D20" s="5">
        <v>4</v>
      </c>
      <c r="E20" s="4">
        <f t="shared" si="1"/>
        <v>5</v>
      </c>
      <c r="F20" s="5">
        <f>E20*4.5</f>
        <v>22.5</v>
      </c>
    </row>
    <row r="21" spans="1:6" ht="15">
      <c r="A21" s="50" t="s">
        <v>62</v>
      </c>
      <c r="B21" s="51"/>
      <c r="C21" s="2">
        <f>SUM(C15:C20)</f>
        <v>7</v>
      </c>
      <c r="D21" s="2">
        <f>SUM(D15:D20)</f>
        <v>24</v>
      </c>
      <c r="E21" s="2">
        <f>SUM(E15:E20)</f>
        <v>31</v>
      </c>
      <c r="F21" s="2">
        <f>F20+F19+F18+F17+F16+F15</f>
        <v>139.5</v>
      </c>
    </row>
    <row r="23" spans="1:6">
      <c r="A23" s="52" t="s">
        <v>54</v>
      </c>
      <c r="B23" s="53"/>
      <c r="C23" s="53"/>
      <c r="D23" s="53"/>
      <c r="E23" s="53"/>
      <c r="F23" s="54"/>
    </row>
    <row r="24" spans="1:6">
      <c r="A24" s="2" t="s">
        <v>55</v>
      </c>
      <c r="B24" s="2" t="s">
        <v>2</v>
      </c>
      <c r="C24" s="2" t="s">
        <v>56</v>
      </c>
      <c r="D24" s="2" t="s">
        <v>57</v>
      </c>
      <c r="E24" s="2" t="s">
        <v>58</v>
      </c>
      <c r="F24" s="2" t="s">
        <v>59</v>
      </c>
    </row>
    <row r="25" spans="1:6">
      <c r="A25" s="55" t="s">
        <v>63</v>
      </c>
      <c r="B25" s="3" t="s">
        <v>6</v>
      </c>
      <c r="C25" s="4">
        <v>2</v>
      </c>
      <c r="D25" s="4">
        <v>4</v>
      </c>
      <c r="E25" s="4">
        <f>SUM(C25:D25)</f>
        <v>6</v>
      </c>
      <c r="F25" s="5">
        <f>E25*4.5</f>
        <v>27</v>
      </c>
    </row>
    <row r="26" spans="1:6">
      <c r="A26" s="56"/>
      <c r="B26" s="6" t="s">
        <v>60</v>
      </c>
      <c r="C26" s="5">
        <v>2</v>
      </c>
      <c r="D26" s="4">
        <v>4</v>
      </c>
      <c r="E26" s="4">
        <f t="shared" ref="E26:E30" si="3">SUM(C26:D26)</f>
        <v>6</v>
      </c>
      <c r="F26" s="5">
        <f t="shared" ref="F26:F30" si="4">E26*4.5</f>
        <v>27</v>
      </c>
    </row>
    <row r="27" spans="1:6">
      <c r="A27" s="56"/>
      <c r="B27" s="6" t="s">
        <v>12</v>
      </c>
      <c r="C27" s="5">
        <v>3</v>
      </c>
      <c r="D27" s="4">
        <v>4</v>
      </c>
      <c r="E27" s="4">
        <f t="shared" si="3"/>
        <v>7</v>
      </c>
      <c r="F27" s="5">
        <f t="shared" si="4"/>
        <v>31.5</v>
      </c>
    </row>
    <row r="28" spans="1:6">
      <c r="A28" s="56"/>
      <c r="B28" s="6" t="s">
        <v>32</v>
      </c>
      <c r="C28" s="5">
        <v>2</v>
      </c>
      <c r="D28" s="4">
        <v>4</v>
      </c>
      <c r="E28" s="4">
        <f t="shared" si="3"/>
        <v>6</v>
      </c>
      <c r="F28" s="5">
        <f t="shared" si="4"/>
        <v>27</v>
      </c>
    </row>
    <row r="29" spans="1:6">
      <c r="A29" s="56"/>
      <c r="B29" s="7" t="s">
        <v>61</v>
      </c>
      <c r="C29" s="8">
        <v>2</v>
      </c>
      <c r="D29" s="4">
        <v>4</v>
      </c>
      <c r="E29" s="4">
        <f t="shared" si="3"/>
        <v>6</v>
      </c>
      <c r="F29" s="5">
        <f t="shared" si="4"/>
        <v>27</v>
      </c>
    </row>
    <row r="30" spans="1:6">
      <c r="A30" s="57"/>
      <c r="B30" s="7" t="s">
        <v>19</v>
      </c>
      <c r="C30" s="8">
        <v>1</v>
      </c>
      <c r="D30" s="4">
        <v>4</v>
      </c>
      <c r="E30" s="4">
        <f t="shared" si="3"/>
        <v>5</v>
      </c>
      <c r="F30" s="5">
        <f t="shared" si="4"/>
        <v>22.5</v>
      </c>
    </row>
    <row r="31" spans="1:6">
      <c r="A31" s="50" t="s">
        <v>62</v>
      </c>
      <c r="B31" s="51"/>
      <c r="C31" s="2">
        <f>SUM(C25:C30)</f>
        <v>12</v>
      </c>
      <c r="D31" s="2">
        <f t="shared" ref="C31:E31" si="5">SUM(D25:D30)</f>
        <v>24</v>
      </c>
      <c r="E31" s="2">
        <f t="shared" si="5"/>
        <v>36</v>
      </c>
      <c r="F31" s="2">
        <f>SUM(F25:F30)</f>
        <v>162</v>
      </c>
    </row>
    <row r="33" spans="1:6">
      <c r="A33" s="52" t="s">
        <v>54</v>
      </c>
      <c r="B33" s="53"/>
      <c r="C33" s="53"/>
      <c r="D33" s="53"/>
      <c r="E33" s="53"/>
      <c r="F33" s="54"/>
    </row>
    <row r="34" spans="1:6">
      <c r="A34" s="2" t="s">
        <v>55</v>
      </c>
      <c r="B34" s="2" t="s">
        <v>2</v>
      </c>
      <c r="C34" s="2" t="s">
        <v>56</v>
      </c>
      <c r="D34" s="2" t="s">
        <v>57</v>
      </c>
      <c r="E34" s="2" t="s">
        <v>58</v>
      </c>
      <c r="F34" s="2" t="s">
        <v>59</v>
      </c>
    </row>
    <row r="35" spans="1:6">
      <c r="A35" s="55" t="s">
        <v>64</v>
      </c>
      <c r="B35" s="3" t="s">
        <v>6</v>
      </c>
      <c r="C35" s="4">
        <v>1</v>
      </c>
      <c r="D35" s="4">
        <v>4</v>
      </c>
      <c r="E35" s="4">
        <f>SUM(C35:D35)</f>
        <v>5</v>
      </c>
      <c r="F35" s="5">
        <f>E35*4.5</f>
        <v>22.5</v>
      </c>
    </row>
    <row r="36" spans="1:6">
      <c r="A36" s="56"/>
      <c r="B36" s="6" t="s">
        <v>60</v>
      </c>
      <c r="C36" s="5">
        <v>2</v>
      </c>
      <c r="D36" s="4">
        <v>4</v>
      </c>
      <c r="E36" s="4">
        <f t="shared" ref="E36:E40" si="6">SUM(C36:D36)</f>
        <v>6</v>
      </c>
      <c r="F36" s="5">
        <f t="shared" ref="F36:F40" si="7">E36*4.5</f>
        <v>27</v>
      </c>
    </row>
    <row r="37" spans="1:6">
      <c r="A37" s="56"/>
      <c r="B37" s="6" t="s">
        <v>12</v>
      </c>
      <c r="C37" s="5">
        <v>3</v>
      </c>
      <c r="D37" s="4">
        <v>4</v>
      </c>
      <c r="E37" s="4">
        <f t="shared" si="6"/>
        <v>7</v>
      </c>
      <c r="F37" s="5">
        <f t="shared" si="7"/>
        <v>31.5</v>
      </c>
    </row>
    <row r="38" spans="1:6">
      <c r="A38" s="56"/>
      <c r="B38" s="6" t="s">
        <v>32</v>
      </c>
      <c r="C38" s="5">
        <v>3</v>
      </c>
      <c r="D38" s="4">
        <v>4</v>
      </c>
      <c r="E38" s="4">
        <f t="shared" si="6"/>
        <v>7</v>
      </c>
      <c r="F38" s="5">
        <f t="shared" si="7"/>
        <v>31.5</v>
      </c>
    </row>
    <row r="39" spans="1:6">
      <c r="A39" s="56"/>
      <c r="B39" s="7" t="s">
        <v>61</v>
      </c>
      <c r="C39" s="8">
        <v>2</v>
      </c>
      <c r="D39" s="4">
        <v>4</v>
      </c>
      <c r="E39" s="4">
        <f t="shared" si="6"/>
        <v>6</v>
      </c>
      <c r="F39" s="5">
        <f t="shared" si="7"/>
        <v>27</v>
      </c>
    </row>
    <row r="40" spans="1:6">
      <c r="A40" s="57"/>
      <c r="B40" s="7" t="s">
        <v>19</v>
      </c>
      <c r="C40" s="8">
        <v>0</v>
      </c>
      <c r="D40" s="4">
        <v>4</v>
      </c>
      <c r="E40" s="4">
        <f t="shared" si="6"/>
        <v>4</v>
      </c>
      <c r="F40" s="5">
        <f t="shared" si="7"/>
        <v>18</v>
      </c>
    </row>
    <row r="41" spans="1:6">
      <c r="A41" s="50" t="s">
        <v>62</v>
      </c>
      <c r="B41" s="51"/>
      <c r="C41" s="2">
        <f>SUM(C35:C40)</f>
        <v>11</v>
      </c>
      <c r="D41" s="2">
        <f xml:space="preserve"> SUM(D35:D40)</f>
        <v>24</v>
      </c>
      <c r="E41" s="2">
        <f>SUM(E35:E40)</f>
        <v>35</v>
      </c>
      <c r="F41" s="2">
        <v>94.5</v>
      </c>
    </row>
    <row r="43" spans="1:6">
      <c r="A43" s="52" t="s">
        <v>54</v>
      </c>
      <c r="B43" s="53"/>
      <c r="C43" s="53"/>
      <c r="D43" s="53"/>
      <c r="E43" s="53"/>
      <c r="F43" s="54"/>
    </row>
    <row r="44" spans="1:6">
      <c r="A44" s="2" t="s">
        <v>55</v>
      </c>
      <c r="B44" s="2" t="s">
        <v>2</v>
      </c>
      <c r="C44" s="2" t="s">
        <v>56</v>
      </c>
      <c r="D44" s="2" t="s">
        <v>57</v>
      </c>
      <c r="E44" s="2" t="s">
        <v>58</v>
      </c>
      <c r="F44" s="2" t="s">
        <v>59</v>
      </c>
    </row>
    <row r="45" spans="1:6">
      <c r="A45" s="55" t="s">
        <v>65</v>
      </c>
      <c r="B45" s="3" t="s">
        <v>6</v>
      </c>
      <c r="C45" s="4">
        <v>1</v>
      </c>
      <c r="D45" s="4">
        <v>4</v>
      </c>
      <c r="E45" s="4">
        <f>SUM(C45:D45)</f>
        <v>5</v>
      </c>
      <c r="F45" s="5">
        <f>E45*4.5</f>
        <v>22.5</v>
      </c>
    </row>
    <row r="46" spans="1:6">
      <c r="A46" s="56"/>
      <c r="B46" s="6" t="s">
        <v>60</v>
      </c>
      <c r="C46" s="5">
        <v>3</v>
      </c>
      <c r="D46" s="4">
        <v>4</v>
      </c>
      <c r="E46" s="4">
        <f t="shared" ref="E46:E50" si="8">SUM(C46:D46)</f>
        <v>7</v>
      </c>
      <c r="F46" s="5">
        <f t="shared" ref="F46:F50" si="9">E46*4.5</f>
        <v>31.5</v>
      </c>
    </row>
    <row r="47" spans="1:6">
      <c r="A47" s="56"/>
      <c r="B47" s="6" t="s">
        <v>12</v>
      </c>
      <c r="C47" s="5">
        <v>4</v>
      </c>
      <c r="D47" s="4">
        <v>4</v>
      </c>
      <c r="E47" s="4">
        <f t="shared" si="8"/>
        <v>8</v>
      </c>
      <c r="F47" s="5">
        <f t="shared" si="9"/>
        <v>36</v>
      </c>
    </row>
    <row r="48" spans="1:6">
      <c r="A48" s="56"/>
      <c r="B48" s="6" t="s">
        <v>32</v>
      </c>
      <c r="C48" s="5">
        <v>3</v>
      </c>
      <c r="D48" s="4">
        <v>4</v>
      </c>
      <c r="E48" s="4">
        <f t="shared" si="8"/>
        <v>7</v>
      </c>
      <c r="F48" s="5">
        <f t="shared" si="9"/>
        <v>31.5</v>
      </c>
    </row>
    <row r="49" spans="1:15">
      <c r="A49" s="56"/>
      <c r="B49" s="7" t="s">
        <v>61</v>
      </c>
      <c r="C49" s="8">
        <v>3</v>
      </c>
      <c r="D49" s="4">
        <v>4</v>
      </c>
      <c r="E49" s="4">
        <f t="shared" si="8"/>
        <v>7</v>
      </c>
      <c r="F49" s="5">
        <f t="shared" si="9"/>
        <v>31.5</v>
      </c>
    </row>
    <row r="50" spans="1:15">
      <c r="A50" s="57"/>
      <c r="B50" s="7" t="s">
        <v>19</v>
      </c>
      <c r="C50" s="8">
        <v>1</v>
      </c>
      <c r="D50" s="4">
        <v>4</v>
      </c>
      <c r="E50" s="4">
        <f t="shared" si="8"/>
        <v>5</v>
      </c>
      <c r="F50" s="5">
        <f t="shared" si="9"/>
        <v>22.5</v>
      </c>
    </row>
    <row r="51" spans="1:15">
      <c r="A51" s="50" t="s">
        <v>62</v>
      </c>
      <c r="B51" s="51"/>
      <c r="C51" s="2">
        <f>SUM(C45:C50)</f>
        <v>15</v>
      </c>
      <c r="D51" s="2">
        <f xml:space="preserve"> SUM(D45:D50)</f>
        <v>24</v>
      </c>
      <c r="E51" s="2">
        <f>SUM(E45:E50)</f>
        <v>39</v>
      </c>
      <c r="F51" s="2">
        <f>SUM(F45:F50)</f>
        <v>175.5</v>
      </c>
    </row>
    <row r="52" spans="1:15" ht="15" customHeight="1"/>
    <row r="53" spans="1:15" ht="10.9" customHeight="1">
      <c r="A53" s="52" t="s">
        <v>54</v>
      </c>
      <c r="B53" s="53"/>
      <c r="C53" s="53"/>
      <c r="D53" s="53"/>
      <c r="E53" s="53"/>
      <c r="F53" s="54"/>
    </row>
    <row r="54" spans="1:15" ht="15" customHeight="1">
      <c r="A54" s="2" t="s">
        <v>55</v>
      </c>
      <c r="B54" s="2" t="s">
        <v>2</v>
      </c>
      <c r="C54" s="2" t="s">
        <v>56</v>
      </c>
      <c r="D54" s="2" t="s">
        <v>57</v>
      </c>
      <c r="E54" s="2" t="s">
        <v>58</v>
      </c>
      <c r="F54" s="2" t="s">
        <v>59</v>
      </c>
    </row>
    <row r="55" spans="1:15">
      <c r="A55" s="55" t="s">
        <v>66</v>
      </c>
      <c r="B55" s="3" t="s">
        <v>6</v>
      </c>
      <c r="C55" s="4">
        <v>1</v>
      </c>
      <c r="D55" s="4">
        <v>4</v>
      </c>
      <c r="E55" s="4">
        <f>SUM(C55:D55)</f>
        <v>5</v>
      </c>
      <c r="F55" s="5">
        <f>E55*4.5</f>
        <v>22.5</v>
      </c>
    </row>
    <row r="56" spans="1:15">
      <c r="A56" s="56"/>
      <c r="B56" s="6" t="s">
        <v>60</v>
      </c>
      <c r="C56" s="5">
        <v>2</v>
      </c>
      <c r="D56" s="4">
        <v>4</v>
      </c>
      <c r="E56" s="4">
        <f t="shared" ref="E56:E60" si="10">SUM(C56:D56)</f>
        <v>6</v>
      </c>
      <c r="F56" s="5">
        <f t="shared" ref="F56:F60" si="11">E56*4.5</f>
        <v>27</v>
      </c>
    </row>
    <row r="57" spans="1:15">
      <c r="A57" s="56"/>
      <c r="B57" s="6" t="s">
        <v>12</v>
      </c>
      <c r="C57" s="5">
        <v>3</v>
      </c>
      <c r="D57" s="4">
        <v>4</v>
      </c>
      <c r="E57" s="4">
        <f t="shared" si="10"/>
        <v>7</v>
      </c>
      <c r="F57" s="5">
        <f t="shared" si="11"/>
        <v>31.5</v>
      </c>
    </row>
    <row r="58" spans="1:15">
      <c r="A58" s="56"/>
      <c r="B58" s="6" t="s">
        <v>32</v>
      </c>
      <c r="C58" s="5">
        <v>2</v>
      </c>
      <c r="D58" s="4">
        <v>4</v>
      </c>
      <c r="E58" s="4">
        <f t="shared" si="10"/>
        <v>6</v>
      </c>
      <c r="F58" s="5">
        <f t="shared" si="11"/>
        <v>27</v>
      </c>
    </row>
    <row r="59" spans="1:15">
      <c r="A59" s="56"/>
      <c r="B59" s="7" t="s">
        <v>61</v>
      </c>
      <c r="C59" s="8">
        <v>1</v>
      </c>
      <c r="D59" s="4">
        <v>4</v>
      </c>
      <c r="E59" s="4">
        <f t="shared" si="10"/>
        <v>5</v>
      </c>
      <c r="F59" s="5">
        <f t="shared" si="11"/>
        <v>22.5</v>
      </c>
    </row>
    <row r="60" spans="1:15">
      <c r="A60" s="57"/>
      <c r="B60" s="7" t="s">
        <v>19</v>
      </c>
      <c r="C60" s="8">
        <v>1</v>
      </c>
      <c r="D60" s="4">
        <v>4</v>
      </c>
      <c r="E60" s="4">
        <f t="shared" si="10"/>
        <v>5</v>
      </c>
      <c r="F60" s="5">
        <f t="shared" si="11"/>
        <v>22.5</v>
      </c>
    </row>
    <row r="61" spans="1:15">
      <c r="A61" s="50" t="s">
        <v>62</v>
      </c>
      <c r="B61" s="51"/>
      <c r="C61" s="2">
        <f>SUM(C55:C60)</f>
        <v>10</v>
      </c>
      <c r="D61" s="2">
        <f xml:space="preserve"> SUM(D55:D60)</f>
        <v>24</v>
      </c>
      <c r="E61" s="2">
        <f xml:space="preserve"> SUM(E55:E60)</f>
        <v>34</v>
      </c>
      <c r="F61" s="2">
        <f>SUM(F55:F60)</f>
        <v>153</v>
      </c>
    </row>
    <row r="63" spans="1:15" ht="15">
      <c r="A63" s="52" t="s">
        <v>54</v>
      </c>
      <c r="B63" s="53"/>
      <c r="C63" s="53"/>
      <c r="D63" s="53"/>
      <c r="E63" s="53"/>
      <c r="F63" s="54"/>
      <c r="J63" s="60"/>
      <c r="K63" s="60"/>
      <c r="L63" s="60"/>
      <c r="M63" s="60"/>
      <c r="N63" s="60"/>
      <c r="O63" s="60"/>
    </row>
    <row r="64" spans="1:15" ht="15">
      <c r="A64" s="2" t="s">
        <v>55</v>
      </c>
      <c r="B64" s="2" t="s">
        <v>2</v>
      </c>
      <c r="C64" s="2" t="s">
        <v>56</v>
      </c>
      <c r="D64" s="2" t="s">
        <v>57</v>
      </c>
      <c r="E64" s="2" t="s">
        <v>58</v>
      </c>
      <c r="F64" s="2" t="s">
        <v>59</v>
      </c>
      <c r="J64" s="38"/>
      <c r="K64" s="38"/>
      <c r="L64" s="38"/>
      <c r="M64" s="38"/>
      <c r="N64" s="38"/>
      <c r="O64" s="38"/>
    </row>
    <row r="65" spans="1:19" ht="15">
      <c r="A65" s="55" t="s">
        <v>67</v>
      </c>
      <c r="B65" s="3" t="s">
        <v>6</v>
      </c>
      <c r="C65" s="4">
        <v>2</v>
      </c>
      <c r="D65" s="4">
        <v>4</v>
      </c>
      <c r="E65" s="4">
        <f t="shared" ref="E65:E69" si="12">SUM(C65:D65)</f>
        <v>6</v>
      </c>
      <c r="F65" s="5">
        <f>E65*4.5</f>
        <v>27</v>
      </c>
      <c r="J65" s="61"/>
      <c r="K65" s="39"/>
      <c r="L65" s="40"/>
      <c r="M65" s="40"/>
      <c r="N65" s="40"/>
      <c r="O65" s="40"/>
    </row>
    <row r="66" spans="1:19" ht="15">
      <c r="A66" s="56"/>
      <c r="B66" s="6" t="s">
        <v>60</v>
      </c>
      <c r="C66" s="5">
        <v>4</v>
      </c>
      <c r="D66" s="4">
        <v>4</v>
      </c>
      <c r="E66" s="4">
        <f t="shared" si="12"/>
        <v>8</v>
      </c>
      <c r="F66" s="5">
        <f t="shared" ref="F66:F70" si="13">E66*4.5</f>
        <v>36</v>
      </c>
      <c r="J66" s="61"/>
      <c r="K66" s="39"/>
      <c r="L66" s="40"/>
      <c r="M66" s="40"/>
      <c r="N66" s="40"/>
      <c r="O66" s="40"/>
    </row>
    <row r="67" spans="1:19" ht="15">
      <c r="A67" s="56"/>
      <c r="B67" s="6" t="s">
        <v>12</v>
      </c>
      <c r="C67" s="5">
        <v>3</v>
      </c>
      <c r="D67" s="4">
        <v>4</v>
      </c>
      <c r="E67" s="4">
        <f t="shared" si="12"/>
        <v>7</v>
      </c>
      <c r="F67" s="5">
        <f t="shared" si="13"/>
        <v>31.5</v>
      </c>
      <c r="J67" s="61"/>
      <c r="K67" s="39"/>
      <c r="L67" s="40"/>
      <c r="M67" s="40"/>
      <c r="N67" s="40"/>
      <c r="O67" s="40"/>
    </row>
    <row r="68" spans="1:19" ht="15">
      <c r="A68" s="56"/>
      <c r="B68" s="6" t="s">
        <v>32</v>
      </c>
      <c r="C68" s="5">
        <v>3</v>
      </c>
      <c r="D68" s="4">
        <v>4</v>
      </c>
      <c r="E68" s="4">
        <f t="shared" si="12"/>
        <v>7</v>
      </c>
      <c r="F68" s="5">
        <f t="shared" si="13"/>
        <v>31.5</v>
      </c>
      <c r="J68" s="61"/>
      <c r="K68" s="39"/>
      <c r="L68" s="40"/>
      <c r="M68" s="40"/>
      <c r="N68" s="40"/>
      <c r="O68" s="40"/>
    </row>
    <row r="69" spans="1:19" ht="15">
      <c r="A69" s="56"/>
      <c r="B69" s="7" t="s">
        <v>61</v>
      </c>
      <c r="C69" s="8">
        <v>3</v>
      </c>
      <c r="D69" s="4">
        <v>4</v>
      </c>
      <c r="E69" s="4">
        <f t="shared" si="12"/>
        <v>7</v>
      </c>
      <c r="F69" s="5">
        <f t="shared" si="13"/>
        <v>31.5</v>
      </c>
      <c r="J69" s="61"/>
      <c r="K69" s="39"/>
      <c r="L69" s="40"/>
      <c r="M69" s="40"/>
      <c r="N69" s="40"/>
      <c r="O69" s="40"/>
    </row>
    <row r="70" spans="1:19" ht="15">
      <c r="A70" s="57"/>
      <c r="B70" s="7" t="s">
        <v>19</v>
      </c>
      <c r="C70" s="8">
        <v>1</v>
      </c>
      <c r="D70" s="4">
        <v>4</v>
      </c>
      <c r="E70" s="4">
        <f>SUM(C70:D70)</f>
        <v>5</v>
      </c>
      <c r="F70" s="5">
        <f t="shared" si="13"/>
        <v>22.5</v>
      </c>
      <c r="J70" s="61"/>
      <c r="K70" s="39"/>
      <c r="L70" s="40"/>
      <c r="M70" s="40"/>
      <c r="N70" s="40"/>
      <c r="O70" s="40"/>
    </row>
    <row r="71" spans="1:19" ht="15">
      <c r="A71" s="50" t="s">
        <v>62</v>
      </c>
      <c r="B71" s="51"/>
      <c r="C71" s="2">
        <f xml:space="preserve"> SUM(C65:C70)</f>
        <v>16</v>
      </c>
      <c r="D71" s="2">
        <f xml:space="preserve"> SUM(D65:D70)</f>
        <v>24</v>
      </c>
      <c r="E71" s="2">
        <v>39</v>
      </c>
      <c r="F71" s="2">
        <f>SUM(F65:F70)</f>
        <v>180</v>
      </c>
      <c r="J71" s="62"/>
      <c r="K71" s="62"/>
      <c r="L71" s="38"/>
      <c r="M71" s="38"/>
      <c r="N71" s="38"/>
      <c r="O71" s="38"/>
    </row>
    <row r="72" spans="1:19" ht="15">
      <c r="J72" s="41"/>
      <c r="K72" s="41"/>
      <c r="L72" s="41"/>
      <c r="M72" s="41"/>
      <c r="N72" s="41"/>
      <c r="O72" s="42"/>
    </row>
    <row r="73" spans="1:19" ht="14.45" customHeight="1">
      <c r="A73" s="52" t="s">
        <v>54</v>
      </c>
      <c r="B73" s="53"/>
      <c r="C73" s="53"/>
      <c r="D73" s="53"/>
      <c r="E73" s="53"/>
      <c r="F73" s="54"/>
      <c r="J73" s="41"/>
      <c r="K73" s="41"/>
      <c r="L73" s="41"/>
      <c r="M73" s="41"/>
      <c r="N73" s="41"/>
      <c r="O73" s="42"/>
    </row>
    <row r="74" spans="1:19" ht="15">
      <c r="A74" s="2" t="s">
        <v>55</v>
      </c>
      <c r="B74" s="2" t="s">
        <v>2</v>
      </c>
      <c r="C74" s="2" t="s">
        <v>56</v>
      </c>
      <c r="D74" s="2" t="s">
        <v>57</v>
      </c>
      <c r="E74" s="2" t="s">
        <v>58</v>
      </c>
      <c r="F74" s="2" t="s">
        <v>59</v>
      </c>
      <c r="J74" s="63"/>
      <c r="K74" s="63"/>
      <c r="L74" s="63"/>
      <c r="M74" s="63"/>
      <c r="N74" s="63"/>
      <c r="O74" s="42"/>
    </row>
    <row r="75" spans="1:19" ht="15">
      <c r="A75" s="55" t="s">
        <v>68</v>
      </c>
      <c r="B75" s="3" t="s">
        <v>6</v>
      </c>
      <c r="C75" s="4">
        <v>1</v>
      </c>
      <c r="D75" s="4">
        <v>2</v>
      </c>
      <c r="E75" s="4">
        <f xml:space="preserve"> D75+C75</f>
        <v>3</v>
      </c>
      <c r="F75" s="5">
        <f>E75*4.5</f>
        <v>13.5</v>
      </c>
      <c r="J75" s="41"/>
      <c r="K75" s="41"/>
      <c r="L75" s="41"/>
      <c r="M75" s="41"/>
      <c r="N75" s="41"/>
      <c r="O75" s="42"/>
      <c r="S75" s="43"/>
    </row>
    <row r="76" spans="1:19" ht="15">
      <c r="A76" s="56"/>
      <c r="B76" s="6" t="s">
        <v>60</v>
      </c>
      <c r="C76" s="5">
        <v>4</v>
      </c>
      <c r="D76" s="5">
        <v>2</v>
      </c>
      <c r="E76" s="4">
        <f t="shared" ref="E76:E80" si="14" xml:space="preserve"> D76+C76</f>
        <v>6</v>
      </c>
      <c r="F76" s="5">
        <f t="shared" ref="F76:F80" si="15">E76*4.5</f>
        <v>27</v>
      </c>
    </row>
    <row r="77" spans="1:19">
      <c r="A77" s="56"/>
      <c r="B77" s="6" t="s">
        <v>12</v>
      </c>
      <c r="C77" s="5">
        <v>6</v>
      </c>
      <c r="D77" s="5">
        <v>2</v>
      </c>
      <c r="E77" s="4">
        <f t="shared" si="14"/>
        <v>8</v>
      </c>
      <c r="F77" s="5">
        <f t="shared" si="15"/>
        <v>36</v>
      </c>
    </row>
    <row r="78" spans="1:19">
      <c r="A78" s="56"/>
      <c r="B78" s="6" t="s">
        <v>32</v>
      </c>
      <c r="C78" s="5">
        <v>3</v>
      </c>
      <c r="D78" s="5">
        <v>2</v>
      </c>
      <c r="E78" s="4">
        <f t="shared" si="14"/>
        <v>5</v>
      </c>
      <c r="F78" s="5">
        <f t="shared" si="15"/>
        <v>22.5</v>
      </c>
    </row>
    <row r="79" spans="1:19">
      <c r="A79" s="56"/>
      <c r="B79" s="7" t="s">
        <v>61</v>
      </c>
      <c r="C79" s="8">
        <v>2</v>
      </c>
      <c r="D79" s="5">
        <v>2</v>
      </c>
      <c r="E79" s="4">
        <f t="shared" si="14"/>
        <v>4</v>
      </c>
      <c r="F79" s="5">
        <f t="shared" si="15"/>
        <v>18</v>
      </c>
    </row>
    <row r="80" spans="1:19">
      <c r="A80" s="57"/>
      <c r="B80" s="7" t="s">
        <v>19</v>
      </c>
      <c r="C80" s="8">
        <v>2</v>
      </c>
      <c r="D80" s="5">
        <v>2</v>
      </c>
      <c r="E80" s="4">
        <f t="shared" si="14"/>
        <v>4</v>
      </c>
      <c r="F80" s="5">
        <f t="shared" si="15"/>
        <v>18</v>
      </c>
    </row>
    <row r="81" spans="1:6">
      <c r="A81" s="50" t="s">
        <v>62</v>
      </c>
      <c r="B81" s="51"/>
      <c r="C81" s="2">
        <f>SUM(C75:C80)</f>
        <v>18</v>
      </c>
      <c r="D81" s="2">
        <f>SUM(D75:D80)</f>
        <v>12</v>
      </c>
      <c r="E81" s="2">
        <f>SUM(E75:E80)</f>
        <v>30</v>
      </c>
      <c r="F81" s="2">
        <f>SUM(F75:F80)</f>
        <v>135</v>
      </c>
    </row>
    <row r="82" spans="1:6" ht="15"/>
    <row r="83" spans="1:6" ht="15">
      <c r="A83" s="52" t="s">
        <v>54</v>
      </c>
      <c r="B83" s="53"/>
      <c r="C83" s="53"/>
      <c r="D83" s="53"/>
      <c r="E83" s="53"/>
      <c r="F83" s="54"/>
    </row>
    <row r="84" spans="1:6" ht="15">
      <c r="A84" s="2" t="s">
        <v>55</v>
      </c>
      <c r="B84" s="2" t="s">
        <v>2</v>
      </c>
      <c r="C84" s="2" t="s">
        <v>56</v>
      </c>
      <c r="D84" s="2" t="s">
        <v>57</v>
      </c>
      <c r="E84" s="2" t="s">
        <v>58</v>
      </c>
      <c r="F84" s="2" t="s">
        <v>59</v>
      </c>
    </row>
    <row r="85" spans="1:6" ht="15">
      <c r="A85" s="55" t="s">
        <v>69</v>
      </c>
      <c r="B85" s="3" t="s">
        <v>6</v>
      </c>
      <c r="C85" s="4">
        <v>0</v>
      </c>
      <c r="D85" s="4">
        <v>0</v>
      </c>
      <c r="E85" s="4">
        <f>SUM(C85:D85)</f>
        <v>0</v>
      </c>
      <c r="F85" s="5">
        <v>0</v>
      </c>
    </row>
    <row r="86" spans="1:6" ht="15">
      <c r="A86" s="56"/>
      <c r="B86" s="6" t="s">
        <v>60</v>
      </c>
      <c r="C86" s="5">
        <v>0</v>
      </c>
      <c r="D86" s="5">
        <v>0</v>
      </c>
      <c r="E86" s="4">
        <f t="shared" ref="E86:E90" si="16">SUM(C86:D86)</f>
        <v>0</v>
      </c>
      <c r="F86" s="5">
        <v>0</v>
      </c>
    </row>
    <row r="87" spans="1:6" ht="15">
      <c r="A87" s="56"/>
      <c r="B87" s="6" t="s">
        <v>12</v>
      </c>
      <c r="C87" s="5">
        <v>0</v>
      </c>
      <c r="D87" s="5">
        <v>0</v>
      </c>
      <c r="E87" s="4">
        <f t="shared" si="16"/>
        <v>0</v>
      </c>
      <c r="F87" s="5">
        <v>0</v>
      </c>
    </row>
    <row r="88" spans="1:6" ht="15">
      <c r="A88" s="56"/>
      <c r="B88" s="6" t="s">
        <v>32</v>
      </c>
      <c r="C88" s="5">
        <v>0</v>
      </c>
      <c r="D88" s="5">
        <v>0</v>
      </c>
      <c r="E88" s="4">
        <f t="shared" si="16"/>
        <v>0</v>
      </c>
      <c r="F88" s="5">
        <v>0</v>
      </c>
    </row>
    <row r="89" spans="1:6" ht="15">
      <c r="A89" s="56"/>
      <c r="B89" s="7" t="s">
        <v>61</v>
      </c>
      <c r="C89" s="8">
        <v>0</v>
      </c>
      <c r="D89" s="5">
        <v>0</v>
      </c>
      <c r="E89" s="4">
        <f t="shared" si="16"/>
        <v>0</v>
      </c>
      <c r="F89" s="5">
        <f t="shared" ref="F86:F90" si="17">E89*4.5</f>
        <v>0</v>
      </c>
    </row>
    <row r="90" spans="1:6" ht="15">
      <c r="A90" s="57"/>
      <c r="B90" s="7" t="s">
        <v>19</v>
      </c>
      <c r="C90" s="8">
        <v>0</v>
      </c>
      <c r="D90" s="5">
        <v>0</v>
      </c>
      <c r="E90" s="4">
        <f t="shared" si="16"/>
        <v>0</v>
      </c>
      <c r="F90" s="5">
        <v>0</v>
      </c>
    </row>
    <row r="91" spans="1:6" ht="15">
      <c r="A91" s="50" t="s">
        <v>62</v>
      </c>
      <c r="B91" s="51"/>
      <c r="C91" s="2">
        <f>SUM(C85:C90)</f>
        <v>0</v>
      </c>
      <c r="D91" s="2">
        <f>SUM(D85:D90)</f>
        <v>0</v>
      </c>
      <c r="E91" s="2">
        <f>SUM(E85:E90)</f>
        <v>0</v>
      </c>
      <c r="F91" s="2">
        <f>SUM(F85:F90)</f>
        <v>0</v>
      </c>
    </row>
    <row r="92" spans="1:6" ht="15"/>
    <row r="93" spans="1:6" ht="15">
      <c r="A93" s="9" t="s">
        <v>70</v>
      </c>
      <c r="B93" s="11"/>
      <c r="C93" s="11"/>
      <c r="D93" s="11"/>
      <c r="E93" s="12"/>
      <c r="F93" s="10">
        <f>SUM(F81,F71,F61,F51,F41,F31,F21,F11)</f>
        <v>1093.5</v>
      </c>
    </row>
    <row r="94" spans="1:6" ht="15">
      <c r="A94" s="9" t="s">
        <v>71</v>
      </c>
      <c r="B94" s="11"/>
      <c r="C94" s="11"/>
      <c r="D94" s="11"/>
      <c r="E94" s="12"/>
      <c r="F94" s="10">
        <f>F93/8</f>
        <v>136.6875</v>
      </c>
    </row>
    <row r="95" spans="1:6" ht="15">
      <c r="A95" s="64" t="s">
        <v>72</v>
      </c>
      <c r="B95" s="65"/>
      <c r="C95" s="65"/>
      <c r="D95" s="65"/>
      <c r="E95" s="66"/>
      <c r="F95" s="10">
        <f>F94/6</f>
        <v>22.78125</v>
      </c>
    </row>
    <row r="96" spans="1:6" ht="15">
      <c r="A96" s="9" t="s">
        <v>73</v>
      </c>
      <c r="B96" s="11"/>
      <c r="C96" s="11"/>
      <c r="D96" s="11"/>
      <c r="E96" s="12"/>
      <c r="F96" s="10">
        <f>F95/30</f>
        <v>0.75937500000000002</v>
      </c>
    </row>
    <row r="97" ht="15"/>
  </sheetData>
  <mergeCells count="33">
    <mergeCell ref="J63:O63"/>
    <mergeCell ref="J65:J70"/>
    <mergeCell ref="J71:K71"/>
    <mergeCell ref="J74:N74"/>
    <mergeCell ref="A95:E95"/>
    <mergeCell ref="A81:B81"/>
    <mergeCell ref="A75:A80"/>
    <mergeCell ref="A91:B91"/>
    <mergeCell ref="A85:A90"/>
    <mergeCell ref="A1:F1"/>
    <mergeCell ref="A3:F3"/>
    <mergeCell ref="A11:B11"/>
    <mergeCell ref="A5:A10"/>
    <mergeCell ref="A13:F13"/>
    <mergeCell ref="A15:A20"/>
    <mergeCell ref="A55:A60"/>
    <mergeCell ref="A21:B21"/>
    <mergeCell ref="A23:F23"/>
    <mergeCell ref="A25:A30"/>
    <mergeCell ref="A31:B31"/>
    <mergeCell ref="A33:F33"/>
    <mergeCell ref="A35:A40"/>
    <mergeCell ref="A41:B41"/>
    <mergeCell ref="A43:F43"/>
    <mergeCell ref="A45:A50"/>
    <mergeCell ref="A51:B51"/>
    <mergeCell ref="A53:F53"/>
    <mergeCell ref="A61:B61"/>
    <mergeCell ref="A63:F63"/>
    <mergeCell ref="A65:A70"/>
    <mergeCell ref="A71:B71"/>
    <mergeCell ref="A83:F83"/>
    <mergeCell ref="A73:F7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9FCF1D7E116A42BDB0B66DCF1BEDE5" ma:contentTypeVersion="10" ma:contentTypeDescription="Crie um novo documento." ma:contentTypeScope="" ma:versionID="0a63679699d6a4b43494716a314c19b8">
  <xsd:schema xmlns:xsd="http://www.w3.org/2001/XMLSchema" xmlns:xs="http://www.w3.org/2001/XMLSchema" xmlns:p="http://schemas.microsoft.com/office/2006/metadata/properties" xmlns:ns2="00a12968-88e1-4d82-9462-23488a109fff" targetNamespace="http://schemas.microsoft.com/office/2006/metadata/properties" ma:root="true" ma:fieldsID="b9c1bf7123a4027eb03ad3f53a400241" ns2:_="">
    <xsd:import namespace="00a12968-88e1-4d82-9462-23488a109ff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12968-88e1-4d82-9462-23488a109ff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714fbfa-5ced-4307-b76a-786f22ad6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a12968-88e1-4d82-9462-23488a109f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C8FC7E-B3B5-4F0D-8282-5FB1C3A74284}"/>
</file>

<file path=customXml/itemProps2.xml><?xml version="1.0" encoding="utf-8"?>
<ds:datastoreItem xmlns:ds="http://schemas.openxmlformats.org/officeDocument/2006/customXml" ds:itemID="{760CB058-7921-4DC3-BB6E-300C0B22A562}"/>
</file>

<file path=customXml/itemProps3.xml><?xml version="1.0" encoding="utf-8"?>
<ds:datastoreItem xmlns:ds="http://schemas.openxmlformats.org/officeDocument/2006/customXml" ds:itemID="{3136DD69-0ED4-434C-B9C5-BDA0600AD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discente</dc:creator>
  <cp:keywords/>
  <dc:description/>
  <cp:lastModifiedBy>PEDRO VINICIUS DE OLIVEIRA DIAS</cp:lastModifiedBy>
  <cp:revision/>
  <dcterms:created xsi:type="dcterms:W3CDTF">2025-08-18T17:22:11Z</dcterms:created>
  <dcterms:modified xsi:type="dcterms:W3CDTF">2025-10-23T20:35:41Z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0x010100F99FCF1D7E116A42BDB0B66DCF1BEDE5</vt:lpwstr>
  </property>
  <property fmtid="{D5CDD505-2E9C-101B-9397-08002B2CF9AE}" pid="3" name="MediaServiceImageTags">
    <vt:lpwstr/>
  </property>
</Properties>
</file>